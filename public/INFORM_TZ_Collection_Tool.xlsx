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Data Entry" sheetId="2" state="visible" r:id="rId2"/>
  </sheets>
  <definedNames>
    <definedName name="_xlnm._FilterDatabase" localSheetId="1" hidden="1">'Data Entry'!$A$1:$L$54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3A5F"/>
      <sz val="14"/>
    </font>
    <font>
      <color rgb="00000000"/>
      <sz val="10"/>
    </font>
    <font>
      <color rgb="00000000"/>
      <sz val="11"/>
    </font>
    <font>
      <b val="1"/>
      <color rgb="00FFFFFF"/>
      <sz val="10"/>
    </font>
    <font>
      <sz val="10"/>
    </font>
    <font>
      <b val="1"/>
      <color rgb="001F6F3D"/>
      <sz val="1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7E6"/>
      </patternFill>
    </fill>
    <fill>
      <patternFill patternType="solid">
        <fgColor rgb="00EAF3EA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0" fillId="3" borderId="1" applyProtection="1" pivotButton="0" quotePrefix="0" xfId="0">
      <protection locked="0" hidden="0"/>
    </xf>
    <xf numFmtId="0" fontId="6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INFORM Tanzania - Data Collection Tool (NORMAL / v1)</t>
        </is>
      </c>
    </row>
    <row r="2">
      <c r="A2" s="2" t="inlineStr"/>
    </row>
    <row r="3">
      <c r="A3" s="3" t="inlineStr">
        <is>
          <t>1.  Filter the "Sector" column on the Data Entry sheet to find YOUR indicators.</t>
        </is>
      </c>
    </row>
    <row r="4">
      <c r="A4" s="3" t="inlineStr">
        <is>
          <t>2.  For each, type the ACTUAL VALUE in its own unit (e.g. 18 for 18% underweight, 11 for an</t>
        </is>
      </c>
    </row>
    <row r="5">
      <c r="A5" s="3" t="inlineStr">
        <is>
          <t xml:space="preserve">     11-year drought frequency, a count of displaced people). The unit is shown on each row.</t>
        </is>
      </c>
    </row>
    <row r="6">
      <c r="A6" s="3" t="inlineStr">
        <is>
          <t>3.  The "0-10 (auto)" column standardises it instantly - exactly as the official INFORM workbook.</t>
        </is>
      </c>
    </row>
    <row r="7">
      <c r="A7" s="3" t="inlineStr">
        <is>
          <t xml:space="preserve">     You never invent a score; the tool computes it. These cells are locked.</t>
        </is>
      </c>
    </row>
    <row r="8">
      <c r="A8" s="3" t="inlineStr">
        <is>
          <t>4.  Leave rows you do not have data for BLANK - the model uses the foundation value, nothing breaks.</t>
        </is>
      </c>
    </row>
    <row r="9">
      <c r="A9" s="3" t="inlineStr">
        <is>
          <t>5.  Save and send the file back. The centre reads only the 0-10 values; your raw stays with you.</t>
        </is>
      </c>
    </row>
    <row r="10">
      <c r="A10" s="2" t="inlineStr"/>
    </row>
    <row r="11">
      <c r="A11" s="2" t="inlineStr">
        <is>
          <t>Reference = the fixed Min/Max the value is scaled against (frozen, so a value means the same at</t>
        </is>
      </c>
    </row>
    <row r="12">
      <c r="A12" s="2" t="inlineStr">
        <is>
          <t>district, region, country, or village). Direction "protective" means higher is better (inverted).</t>
        </is>
      </c>
    </row>
    <row r="13">
      <c r="A13" s="2" t="inlineStr">
        <is>
          <t>Only the ACTUAL VALUE column is editable. The ADVANCED version adds research rows (SPEI, soil</t>
        </is>
      </c>
    </row>
    <row r="14">
      <c r="A14" s="2" t="inlineStr">
        <is>
          <t>moisture, water levels...) for sectors to refine an indicator beyond the legacy single source.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30" customWidth="1" min="3" max="3"/>
    <col width="30" customWidth="1" min="4" max="4"/>
    <col width="12" customWidth="1" min="5" max="5"/>
    <col width="10" customWidth="1" min="6" max="6"/>
    <col width="11" customWidth="1" min="7" max="7"/>
    <col width="9" customWidth="1" min="8" max="8"/>
    <col width="9" customWidth="1" min="9" max="9"/>
    <col width="11" customWidth="1" min="10" max="10"/>
    <col width="14" customWidth="1" min="11" max="11"/>
    <col width="11" customWidth="1" min="12" max="12"/>
  </cols>
  <sheetData>
    <row r="1">
      <c r="A1" s="4" t="inlineStr">
        <is>
          <t>Sector</t>
        </is>
      </c>
      <c r="B1" s="4" t="inlineStr">
        <is>
          <t>Dimension</t>
        </is>
      </c>
      <c r="C1" s="4" t="inlineStr">
        <is>
          <t>Component</t>
        </is>
      </c>
      <c r="D1" s="4" t="inlineStr">
        <is>
          <t>Indicator</t>
        </is>
      </c>
      <c r="E1" s="4" t="inlineStr">
        <is>
          <t>Unit</t>
        </is>
      </c>
      <c r="F1" s="4" t="inlineStr">
        <is>
          <t>Level</t>
        </is>
      </c>
      <c r="G1" s="4" t="inlineStr">
        <is>
          <t>Transform</t>
        </is>
      </c>
      <c r="H1" s="4" t="inlineStr">
        <is>
          <t>Ref Min</t>
        </is>
      </c>
      <c r="I1" s="4" t="inlineStr">
        <is>
          <t>Ref Max</t>
        </is>
      </c>
      <c r="J1" s="4" t="inlineStr">
        <is>
          <t>Direction</t>
        </is>
      </c>
      <c r="K1" s="4" t="inlineStr">
        <is>
          <t>ACTUAL VALUE</t>
        </is>
      </c>
      <c r="L1" s="4" t="inlineStr">
        <is>
          <t>0-10 (auto)</t>
        </is>
      </c>
    </row>
    <row r="2">
      <c r="A2" s="5" t="inlineStr">
        <is>
          <t>PMO-DMD</t>
        </is>
      </c>
      <c r="B2" s="5" t="inlineStr">
        <is>
          <t>Hazards &amp; Exposure</t>
        </is>
      </c>
      <c r="C2" s="5" t="inlineStr">
        <is>
          <t>Human / Conflict Intensity</t>
        </is>
      </c>
      <c r="D2" s="5" t="inlineStr">
        <is>
          <t>Conflict Barometer</t>
        </is>
      </c>
      <c r="E2" s="5" t="inlineStr">
        <is>
          <t>Index</t>
        </is>
      </c>
      <c r="F2" s="5" t="inlineStr">
        <is>
          <t>Adm1</t>
        </is>
      </c>
      <c r="G2" s="5" t="inlineStr">
        <is>
          <t>None</t>
        </is>
      </c>
      <c r="H2" s="5" t="n">
        <v>0</v>
      </c>
      <c r="I2" s="5" t="n">
        <v>5</v>
      </c>
      <c r="J2" s="5" t="inlineStr">
        <is>
          <t>risk</t>
        </is>
      </c>
      <c r="K2" s="6" t="n"/>
      <c r="L2" s="7">
        <f>IF(K2="","",IFERROR(MAX(0,MIN(10,ROUND(IF(J2="protective",10-10*((IF(G2="Logarithm",LN(0.001+K2),IF(G2="Exponential",EXP(K2),K2)))-H2)/(I2-H2),10*((IF(G2="Logarithm",LN(0.001+K2),IF(G2="Exponential",EXP(K2),K2)))-H2)/(I2-H2)),1))),"No data"))</f>
        <v/>
      </c>
    </row>
    <row r="3">
      <c r="A3" s="5" t="inlineStr">
        <is>
          <t>PMO-DMD</t>
        </is>
      </c>
      <c r="B3" s="5" t="inlineStr">
        <is>
          <t>Hazards &amp; Exposure</t>
        </is>
      </c>
      <c r="C3" s="5" t="inlineStr">
        <is>
          <t>Human / Conflict Risk</t>
        </is>
      </c>
      <c r="D3" s="5" t="inlineStr">
        <is>
          <t>GCRI derived Conflict probability</t>
        </is>
      </c>
      <c r="E3" s="5" t="inlineStr">
        <is>
          <t>%</t>
        </is>
      </c>
      <c r="F3" s="5" t="inlineStr">
        <is>
          <t>National</t>
        </is>
      </c>
      <c r="G3" s="5" t="inlineStr">
        <is>
          <t>None</t>
        </is>
      </c>
      <c r="H3" s="5" t="n">
        <v>0</v>
      </c>
      <c r="I3" s="5" t="n">
        <v>99.09999999999999</v>
      </c>
      <c r="J3" s="5" t="inlineStr">
        <is>
          <t>risk</t>
        </is>
      </c>
      <c r="K3" s="6" t="n"/>
      <c r="L3" s="7">
        <f>IF(K3="","",IFERROR(MAX(0,MIN(10,ROUND(IF(J3="protective",10-10*((IF(G3="Logarithm",LN(0.001+K3),IF(G3="Exponential",EXP(K3),K3)))-H3)/(I3-H3),10*((IF(G3="Logarithm",LN(0.001+K3),IF(G3="Exponential",EXP(K3),K3)))-H3)/(I3-H3)),1))),"No data"))</f>
        <v/>
      </c>
    </row>
    <row r="4">
      <c r="A4" s="5" t="inlineStr">
        <is>
          <t>TPF/PMO-DMD</t>
        </is>
      </c>
      <c r="B4" s="5" t="inlineStr">
        <is>
          <t>Hazards &amp; Exposure</t>
        </is>
      </c>
      <c r="C4" s="5" t="inlineStr">
        <is>
          <t>Human / Internal Violence</t>
        </is>
      </c>
      <c r="D4" s="5" t="inlineStr">
        <is>
          <t>Number of Events</t>
        </is>
      </c>
      <c r="E4" s="5" t="inlineStr">
        <is>
          <t>Number</t>
        </is>
      </c>
      <c r="F4" s="5" t="inlineStr">
        <is>
          <t>Adm1</t>
        </is>
      </c>
      <c r="G4" s="5" t="inlineStr">
        <is>
          <t>Logarithm</t>
        </is>
      </c>
      <c r="H4" s="5" t="n">
        <v>0.0009995003331</v>
      </c>
      <c r="I4" s="5" t="n">
        <v>4.043068812</v>
      </c>
      <c r="J4" s="5" t="inlineStr">
        <is>
          <t>risk</t>
        </is>
      </c>
      <c r="K4" s="6" t="n"/>
      <c r="L4" s="7">
        <f>IF(K4="","",IFERROR(MAX(0,MIN(10,ROUND(IF(J4="protective",10-10*((IF(G4="Logarithm",LN(0.001+K4),IF(G4="Exponential",EXP(K4),K4)))-H4)/(I4-H4),10*((IF(G4="Logarithm",LN(0.001+K4),IF(G4="Exponential",EXP(K4),K4)))-H4)/(I4-H4)),1))),"No data"))</f>
        <v/>
      </c>
    </row>
    <row r="5">
      <c r="A5" s="5" t="inlineStr">
        <is>
          <t>TPF/PMO-DMD</t>
        </is>
      </c>
      <c r="B5" s="5" t="inlineStr">
        <is>
          <t>Hazards &amp; Exposure</t>
        </is>
      </c>
      <c r="C5" s="5" t="inlineStr">
        <is>
          <t>Human / Internal Violence</t>
        </is>
      </c>
      <c r="D5" s="5" t="inlineStr">
        <is>
          <t>Number of Fatalities</t>
        </is>
      </c>
      <c r="E5" s="5" t="inlineStr">
        <is>
          <t>Number</t>
        </is>
      </c>
      <c r="F5" s="5" t="inlineStr">
        <is>
          <t>Adm1</t>
        </is>
      </c>
      <c r="G5" s="5" t="inlineStr">
        <is>
          <t>Logarithm</t>
        </is>
      </c>
      <c r="H5" s="5" t="n">
        <v>-6.907755279</v>
      </c>
      <c r="I5" s="5" t="n">
        <v>3.891840706</v>
      </c>
      <c r="J5" s="5" t="inlineStr">
        <is>
          <t>risk</t>
        </is>
      </c>
      <c r="K5" s="6" t="n"/>
      <c r="L5" s="7">
        <f>IF(K5="","",IFERROR(MAX(0,MIN(10,ROUND(IF(J5="protective",10-10*((IF(G5="Logarithm",LN(0.001+K5),IF(G5="Exponential",EXP(K5),K5)))-H5)/(I5-H5),10*((IF(G5="Logarithm",LN(0.001+K5),IF(G5="Exponential",EXP(K5),K5)))-H5)/(I5-H5)),1))),"No data"))</f>
        <v/>
      </c>
    </row>
    <row r="6">
      <c r="A6" s="5" t="inlineStr">
        <is>
          <t>TMA</t>
        </is>
      </c>
      <c r="B6" s="5" t="inlineStr">
        <is>
          <t>Hazards &amp; Exposure</t>
        </is>
      </c>
      <c r="C6" s="5" t="inlineStr">
        <is>
          <t>Natural / Coastal hazards</t>
        </is>
      </c>
      <c r="D6" s="5" t="inlineStr">
        <is>
          <t>Coastal Erosion</t>
        </is>
      </c>
      <c r="E6" s="5" t="inlineStr">
        <is>
          <t>meters / year</t>
        </is>
      </c>
      <c r="F6" s="5" t="inlineStr">
        <is>
          <t>Adm2</t>
        </is>
      </c>
      <c r="G6" s="5" t="inlineStr">
        <is>
          <t>None</t>
        </is>
      </c>
      <c r="H6" s="5" t="n">
        <v>-0.3</v>
      </c>
      <c r="I6" s="5" t="n">
        <v>0</v>
      </c>
      <c r="J6" s="5" t="inlineStr">
        <is>
          <t>protective</t>
        </is>
      </c>
      <c r="K6" s="6" t="n"/>
      <c r="L6" s="7">
        <f>IF(K6="","",IFERROR(MAX(0,MIN(10,ROUND(IF(J6="protective",10-10*((IF(G6="Logarithm",LN(0.001+K6),IF(G6="Exponential",EXP(K6),K6)))-H6)/(I6-H6),10*((IF(G6="Logarithm",LN(0.001+K6),IF(G6="Exponential",EXP(K6),K6)))-H6)/(I6-H6)),1))),"No data"))</f>
        <v/>
      </c>
    </row>
    <row r="7">
      <c r="A7" s="5" t="inlineStr">
        <is>
          <t>TMA</t>
        </is>
      </c>
      <c r="B7" s="5" t="inlineStr">
        <is>
          <t>Hazards &amp; Exposure</t>
        </is>
      </c>
      <c r="C7" s="5" t="inlineStr">
        <is>
          <t>Natural / Drought</t>
        </is>
      </c>
      <c r="D7" s="5" t="inlineStr">
        <is>
          <t>Historic Drought Frequency</t>
        </is>
      </c>
      <c r="E7" s="5" t="inlineStr">
        <is>
          <t>years</t>
        </is>
      </c>
      <c r="F7" s="5" t="inlineStr">
        <is>
          <t>Adm1</t>
        </is>
      </c>
      <c r="G7" s="5" t="inlineStr">
        <is>
          <t>None</t>
        </is>
      </c>
      <c r="H7" s="5" t="n">
        <v>5</v>
      </c>
      <c r="I7" s="5" t="n">
        <v>19</v>
      </c>
      <c r="J7" s="5" t="inlineStr">
        <is>
          <t>risk</t>
        </is>
      </c>
      <c r="K7" s="6" t="n"/>
      <c r="L7" s="7">
        <f>IF(K7="","",IFERROR(MAX(0,MIN(10,ROUND(IF(J7="protective",10-10*((IF(G7="Logarithm",LN(0.001+K7),IF(G7="Exponential",EXP(K7),K7)))-H7)/(I7-H7),10*((IF(G7="Logarithm",LN(0.001+K7),IF(G7="Exponential",EXP(K7),K7)))-H7)/(I7-H7)),1))),"No data"))</f>
        <v/>
      </c>
    </row>
    <row r="8">
      <c r="A8" s="5" t="inlineStr">
        <is>
          <t>TMA/GST</t>
        </is>
      </c>
      <c r="B8" s="5" t="inlineStr">
        <is>
          <t>Hazards &amp; Exposure</t>
        </is>
      </c>
      <c r="C8" s="5" t="inlineStr">
        <is>
          <t>Natural / Earthquake</t>
        </is>
      </c>
      <c r="D8" s="5" t="inlineStr">
        <is>
          <t>Earthquake exposure</t>
        </is>
      </c>
      <c r="E8" s="5" t="inlineStr">
        <is>
          <t>index</t>
        </is>
      </c>
      <c r="F8" s="5" t="inlineStr">
        <is>
          <t>Adm2</t>
        </is>
      </c>
      <c r="G8" s="5" t="inlineStr">
        <is>
          <t>None</t>
        </is>
      </c>
      <c r="H8" s="5" t="n">
        <v>0</v>
      </c>
      <c r="I8" s="5" t="n">
        <v>1.000000072</v>
      </c>
      <c r="J8" s="5" t="inlineStr">
        <is>
          <t>risk</t>
        </is>
      </c>
      <c r="K8" s="6" t="n"/>
      <c r="L8" s="7">
        <f>IF(K8="","",IFERROR(MAX(0,MIN(10,ROUND(IF(J8="protective",10-10*((IF(G8="Logarithm",LN(0.001+K8),IF(G8="Exponential",EXP(K8),K8)))-H8)/(I8-H8),10*((IF(G8="Logarithm",LN(0.001+K8),IF(G8="Exponential",EXP(K8),K8)))-H8)/(I8-H8)),1))),"No data"))</f>
        <v/>
      </c>
    </row>
    <row r="9">
      <c r="A9" s="5" t="inlineStr">
        <is>
          <t>NEMC</t>
        </is>
      </c>
      <c r="B9" s="5" t="inlineStr">
        <is>
          <t>Hazards &amp; Exposure</t>
        </is>
      </c>
      <c r="C9" s="5" t="inlineStr">
        <is>
          <t>Natural / Environmental Degradation</t>
        </is>
      </c>
      <c r="D9" s="5" t="inlineStr">
        <is>
          <t>Deforestation - Treecover Loss</t>
        </is>
      </c>
      <c r="E9" s="5" t="inlineStr">
        <is>
          <t>%</t>
        </is>
      </c>
      <c r="F9" s="5" t="inlineStr">
        <is>
          <t>Adm2</t>
        </is>
      </c>
      <c r="G9" s="5" t="inlineStr">
        <is>
          <t>Logarithm</t>
        </is>
      </c>
      <c r="H9" s="5" t="n">
        <v>-6.907755279</v>
      </c>
      <c r="I9" s="5" t="n">
        <v>-1.002357813</v>
      </c>
      <c r="J9" s="5" t="inlineStr">
        <is>
          <t>risk</t>
        </is>
      </c>
      <c r="K9" s="6" t="n"/>
      <c r="L9" s="7">
        <f>IF(K9="","",IFERROR(MAX(0,MIN(10,ROUND(IF(J9="protective",10-10*((IF(G9="Logarithm",LN(0.001+K9),IF(G9="Exponential",EXP(K9),K9)))-H9)/(I9-H9),10*((IF(G9="Logarithm",LN(0.001+K9),IF(G9="Exponential",EXP(K9),K9)))-H9)/(I9-H9)),1))),"No data"))</f>
        <v/>
      </c>
    </row>
    <row r="10">
      <c r="A10" s="5" t="inlineStr">
        <is>
          <t>NEMC</t>
        </is>
      </c>
      <c r="B10" s="5" t="inlineStr">
        <is>
          <t>Hazards &amp; Exposure</t>
        </is>
      </c>
      <c r="C10" s="5" t="inlineStr">
        <is>
          <t>Natural / Environmental Degradation</t>
        </is>
      </c>
      <c r="D10" s="5" t="inlineStr">
        <is>
          <t>Soil Erosion</t>
        </is>
      </c>
      <c r="E10" s="5" t="inlineStr">
        <is>
          <t>Mg/ha/yr</t>
        </is>
      </c>
      <c r="F10" s="5" t="inlineStr">
        <is>
          <t>National</t>
        </is>
      </c>
      <c r="G10" s="5" t="inlineStr">
        <is>
          <t>None</t>
        </is>
      </c>
      <c r="H10" s="5" t="n">
        <v>1.7</v>
      </c>
      <c r="I10" s="5" t="n">
        <v>15.9</v>
      </c>
      <c r="J10" s="5" t="inlineStr">
        <is>
          <t>risk</t>
        </is>
      </c>
      <c r="K10" s="6" t="n"/>
      <c r="L10" s="7">
        <f>IF(K10="","",IFERROR(MAX(0,MIN(10,ROUND(IF(J10="protective",10-10*((IF(G10="Logarithm",LN(0.001+K10),IF(G10="Exponential",EXP(K10),K10)))-H10)/(I10-H10),10*((IF(G10="Logarithm",LN(0.001+K10),IF(G10="Exponential",EXP(K10),K10)))-H10)/(I10-H10)),1))),"No data"))</f>
        <v/>
      </c>
    </row>
    <row r="11">
      <c r="A11" s="5" t="inlineStr">
        <is>
          <t>PMO-DMD</t>
        </is>
      </c>
      <c r="B11" s="5" t="inlineStr">
        <is>
          <t>Hazards &amp; Exposure</t>
        </is>
      </c>
      <c r="C11" s="5" t="inlineStr">
        <is>
          <t>Natural / Flood</t>
        </is>
      </c>
      <c r="D11" s="5" t="inlineStr">
        <is>
          <t>Flood exposure</t>
        </is>
      </c>
      <c r="E11" s="5" t="inlineStr">
        <is>
          <t>%</t>
        </is>
      </c>
      <c r="F11" s="5" t="inlineStr">
        <is>
          <t>Adm2</t>
        </is>
      </c>
      <c r="G11" s="5" t="inlineStr">
        <is>
          <t>Logarithm</t>
        </is>
      </c>
      <c r="H11" s="5" t="n">
        <v>-6.907755279</v>
      </c>
      <c r="I11" s="5" t="n">
        <v>-1.148853505</v>
      </c>
      <c r="J11" s="5" t="inlineStr">
        <is>
          <t>risk</t>
        </is>
      </c>
      <c r="K11" s="6" t="n"/>
      <c r="L11" s="7">
        <f>IF(K11="","",IFERROR(MAX(0,MIN(10,ROUND(IF(J11="protective",10-10*((IF(G11="Logarithm",LN(0.001+K11),IF(G11="Exponential",EXP(K11),K11)))-H11)/(I11-H11),10*((IF(G11="Logarithm",LN(0.001+K11),IF(G11="Exponential",EXP(K11),K11)))-H11)/(I11-H11)),1))),"No data"))</f>
        <v/>
      </c>
    </row>
    <row r="12">
      <c r="A12" s="5" t="inlineStr">
        <is>
          <t>TMA</t>
        </is>
      </c>
      <c r="B12" s="5" t="inlineStr">
        <is>
          <t>Hazards &amp; Exposure</t>
        </is>
      </c>
      <c r="C12" s="5" t="inlineStr">
        <is>
          <t>Natural / Landslide</t>
        </is>
      </c>
      <c r="D12" s="5" t="inlineStr">
        <is>
          <t>Landslide exposure</t>
        </is>
      </c>
      <c r="E12" s="5" t="inlineStr">
        <is>
          <t>%</t>
        </is>
      </c>
      <c r="F12" s="5" t="inlineStr">
        <is>
          <t>Adm2</t>
        </is>
      </c>
      <c r="G12" s="5" t="inlineStr">
        <is>
          <t>Logarithm</t>
        </is>
      </c>
      <c r="H12" s="5" t="n">
        <v>-6.907755279</v>
      </c>
      <c r="I12" s="5" t="n">
        <v>0.0009995003331</v>
      </c>
      <c r="J12" s="5" t="inlineStr">
        <is>
          <t>risk</t>
        </is>
      </c>
      <c r="K12" s="6" t="n"/>
      <c r="L12" s="7">
        <f>IF(K12="","",IFERROR(MAX(0,MIN(10,ROUND(IF(J12="protective",10-10*((IF(G12="Logarithm",LN(0.001+K12),IF(G12="Exponential",EXP(K12),K12)))-H12)/(I12-H12),10*((IF(G12="Logarithm",LN(0.001+K12),IF(G12="Exponential",EXP(K12),K12)))-H12)/(I12-H12)),1))),"No data"))</f>
        <v/>
      </c>
    </row>
    <row r="13">
      <c r="A13" s="5" t="inlineStr">
        <is>
          <t>TMA</t>
        </is>
      </c>
      <c r="B13" s="5" t="inlineStr">
        <is>
          <t>Hazards &amp; Exposure</t>
        </is>
      </c>
      <c r="C13" s="5" t="inlineStr">
        <is>
          <t>Natural / Storms &amp; Cyclone</t>
        </is>
      </c>
      <c r="D13" s="5" t="inlineStr">
        <is>
          <t>Cyclone exposure - max speed</t>
        </is>
      </c>
      <c r="E13" s="5" t="inlineStr">
        <is>
          <t>%</t>
        </is>
      </c>
      <c r="F13" s="5" t="inlineStr">
        <is>
          <t>Adm2</t>
        </is>
      </c>
      <c r="G13" s="5" t="inlineStr">
        <is>
          <t>None</t>
        </is>
      </c>
      <c r="H13" s="5" t="n">
        <v>0</v>
      </c>
      <c r="I13" s="5" t="n">
        <v>18.10675049</v>
      </c>
      <c r="J13" s="5" t="inlineStr">
        <is>
          <t>risk</t>
        </is>
      </c>
      <c r="K13" s="6" t="n"/>
      <c r="L13" s="7">
        <f>IF(K13="","",IFERROR(MAX(0,MIN(10,ROUND(IF(J13="protective",10-10*((IF(G13="Logarithm",LN(0.001+K13),IF(G13="Exponential",EXP(K13),K13)))-H13)/(I13-H13),10*((IF(G13="Logarithm",LN(0.001+K13),IF(G13="Exponential",EXP(K13),K13)))-H13)/(I13-H13)),1))),"No data"))</f>
        <v/>
      </c>
    </row>
    <row r="14">
      <c r="A14" s="5" t="inlineStr">
        <is>
          <t>TMA/GST</t>
        </is>
      </c>
      <c r="B14" s="5" t="inlineStr">
        <is>
          <t>Hazards &amp; Exposure</t>
        </is>
      </c>
      <c r="C14" s="5" t="inlineStr">
        <is>
          <t>Natural / Volcano</t>
        </is>
      </c>
      <c r="D14" s="5" t="inlineStr">
        <is>
          <t>Volcano exposure</t>
        </is>
      </c>
      <c r="E14" s="5" t="inlineStr">
        <is>
          <t>index</t>
        </is>
      </c>
      <c r="F14" s="5" t="inlineStr">
        <is>
          <t>Adm1</t>
        </is>
      </c>
      <c r="G14" s="5" t="inlineStr">
        <is>
          <t>None</t>
        </is>
      </c>
      <c r="H14" s="5" t="n">
        <v>0</v>
      </c>
      <c r="I14" s="5" t="n">
        <v>4</v>
      </c>
      <c r="J14" s="5" t="inlineStr">
        <is>
          <t>risk</t>
        </is>
      </c>
      <c r="K14" s="6" t="n"/>
      <c r="L14" s="7">
        <f>IF(K14="","",IFERROR(MAX(0,MIN(10,ROUND(IF(J14="protective",10-10*((IF(G14="Logarithm",LN(0.001+K14),IF(G14="Exponential",EXP(K14),K14)))-H14)/(I14-H14),10*((IF(G14="Logarithm",LN(0.001+K14),IF(G14="Exponential",EXP(K14),K14)))-H14)/(I14-H14)),1))),"No data"))</f>
        <v/>
      </c>
    </row>
    <row r="15">
      <c r="A15" s="5" t="inlineStr">
        <is>
          <t>TFS/TMA</t>
        </is>
      </c>
      <c r="B15" s="5" t="inlineStr">
        <is>
          <t>Hazards &amp; Exposure</t>
        </is>
      </c>
      <c r="C15" s="5" t="inlineStr">
        <is>
          <t>Natural / Wildfire</t>
        </is>
      </c>
      <c r="D15" s="5" t="inlineStr">
        <is>
          <t>Burned Area</t>
        </is>
      </c>
      <c r="E15" s="5" t="inlineStr">
        <is>
          <t>%</t>
        </is>
      </c>
      <c r="F15" s="5" t="inlineStr">
        <is>
          <t>Adm1</t>
        </is>
      </c>
      <c r="G15" s="5" t="inlineStr">
        <is>
          <t>None</t>
        </is>
      </c>
      <c r="H15" s="5" t="n">
        <v>0</v>
      </c>
      <c r="I15" s="5" t="n">
        <v>49</v>
      </c>
      <c r="J15" s="5" t="inlineStr">
        <is>
          <t>risk</t>
        </is>
      </c>
      <c r="K15" s="6" t="n"/>
      <c r="L15" s="7">
        <f>IF(K15="","",IFERROR(MAX(0,MIN(10,ROUND(IF(J15="protective",10-10*((IF(G15="Logarithm",LN(0.001+K15),IF(G15="Exponential",EXP(K15),K15)))-H15)/(I15-H15),10*((IF(G15="Logarithm",LN(0.001+K15),IF(G15="Exponential",EXP(K15),K15)))-H15)/(I15-H15)),1))),"No data"))</f>
        <v/>
      </c>
    </row>
    <row r="16">
      <c r="A16" s="5" t="inlineStr">
        <is>
          <t>TFS/TMA</t>
        </is>
      </c>
      <c r="B16" s="5" t="inlineStr">
        <is>
          <t>Hazards &amp; Exposure</t>
        </is>
      </c>
      <c r="C16" s="5" t="inlineStr">
        <is>
          <t>Natural / Wildfire</t>
        </is>
      </c>
      <c r="D16" s="5" t="inlineStr">
        <is>
          <t>Fire Weather Index</t>
        </is>
      </c>
      <c r="E16" s="5" t="inlineStr">
        <is>
          <t>index</t>
        </is>
      </c>
      <c r="F16" s="5" t="inlineStr">
        <is>
          <t>Adm1</t>
        </is>
      </c>
      <c r="G16" s="5" t="inlineStr">
        <is>
          <t>None</t>
        </is>
      </c>
      <c r="H16" s="5" t="n">
        <v>0</v>
      </c>
      <c r="I16" s="5" t="n">
        <v>120</v>
      </c>
      <c r="J16" s="5" t="inlineStr">
        <is>
          <t>risk</t>
        </is>
      </c>
      <c r="K16" s="6" t="n"/>
      <c r="L16" s="7">
        <f>IF(K16="","",IFERROR(MAX(0,MIN(10,ROUND(IF(J16="protective",10-10*((IF(G16="Logarithm",LN(0.001+K16),IF(G16="Exponential",EXP(K16),K16)))-H16)/(I16-H16),10*((IF(G16="Logarithm",LN(0.001+K16),IF(G16="Exponential",EXP(K16),K16)))-H16)/(I16-H16)),1))),"No data"))</f>
        <v/>
      </c>
    </row>
    <row r="17">
      <c r="A17" s="5" t="inlineStr">
        <is>
          <t>NBS</t>
        </is>
      </c>
      <c r="B17" s="5" t="inlineStr">
        <is>
          <t>Vulnerability</t>
        </is>
      </c>
      <c r="C17" s="5" t="inlineStr">
        <is>
          <t>Socio-Economics / Development &amp; Poverty</t>
        </is>
      </c>
      <c r="D17" s="5" t="inlineStr">
        <is>
          <t>Gender Development Index</t>
        </is>
      </c>
      <c r="E17" s="5" t="inlineStr">
        <is>
          <t>index</t>
        </is>
      </c>
      <c r="F17" s="5" t="inlineStr">
        <is>
          <t>Adm1</t>
        </is>
      </c>
      <c r="G17" s="5" t="inlineStr">
        <is>
          <t>None</t>
        </is>
      </c>
      <c r="H17" s="5" t="n">
        <v>0.91</v>
      </c>
      <c r="I17" s="5" t="n">
        <v>0.97</v>
      </c>
      <c r="J17" s="5" t="inlineStr">
        <is>
          <t>protective</t>
        </is>
      </c>
      <c r="K17" s="6" t="n"/>
      <c r="L17" s="7">
        <f>IF(K17="","",IFERROR(MAX(0,MIN(10,ROUND(IF(J17="protective",10-10*((IF(G17="Logarithm",LN(0.001+K17),IF(G17="Exponential",EXP(K17),K17)))-H17)/(I17-H17),10*((IF(G17="Logarithm",LN(0.001+K17),IF(G17="Exponential",EXP(K17),K17)))-H17)/(I17-H17)),1))),"No data"))</f>
        <v/>
      </c>
    </row>
    <row r="18">
      <c r="A18" s="5" t="inlineStr">
        <is>
          <t>NBS</t>
        </is>
      </c>
      <c r="B18" s="5" t="inlineStr">
        <is>
          <t>Vulnerability</t>
        </is>
      </c>
      <c r="C18" s="5" t="inlineStr">
        <is>
          <t>Socio-Economics / Development &amp; Poverty</t>
        </is>
      </c>
      <c r="D18" s="5" t="inlineStr">
        <is>
          <t>Human Development Index</t>
        </is>
      </c>
      <c r="E18" s="5" t="inlineStr">
        <is>
          <t>index</t>
        </is>
      </c>
      <c r="F18" s="5" t="inlineStr">
        <is>
          <t>Adm1</t>
        </is>
      </c>
      <c r="G18" s="5" t="inlineStr">
        <is>
          <t>None</t>
        </is>
      </c>
      <c r="H18" s="5" t="n">
        <v>0.45</v>
      </c>
      <c r="I18" s="5" t="n">
        <v>0.68</v>
      </c>
      <c r="J18" s="5" t="inlineStr">
        <is>
          <t>protective</t>
        </is>
      </c>
      <c r="K18" s="6" t="n"/>
      <c r="L18" s="7">
        <f>IF(K18="","",IFERROR(MAX(0,MIN(10,ROUND(IF(J18="protective",10-10*((IF(G18="Logarithm",LN(0.001+K18),IF(G18="Exponential",EXP(K18),K18)))-H18)/(I18-H18),10*((IF(G18="Logarithm",LN(0.001+K18),IF(G18="Exponential",EXP(K18),K18)))-H18)/(I18-H18)),1))),"No data"))</f>
        <v/>
      </c>
    </row>
    <row r="19">
      <c r="A19" s="5" t="inlineStr">
        <is>
          <t>NBS</t>
        </is>
      </c>
      <c r="B19" s="5" t="inlineStr">
        <is>
          <t>Vulnerability</t>
        </is>
      </c>
      <c r="C19" s="5" t="inlineStr">
        <is>
          <t>Socio-Economics / Development &amp; Poverty</t>
        </is>
      </c>
      <c r="D19" s="5" t="inlineStr">
        <is>
          <t>Multidimensional Poverty Index</t>
        </is>
      </c>
      <c r="E19" s="5" t="inlineStr">
        <is>
          <t>index</t>
        </is>
      </c>
      <c r="F19" s="5" t="inlineStr">
        <is>
          <t>Adm1</t>
        </is>
      </c>
      <c r="G19" s="5" t="inlineStr">
        <is>
          <t>None</t>
        </is>
      </c>
      <c r="H19" s="5" t="n">
        <v>0.132</v>
      </c>
      <c r="I19" s="5" t="n">
        <v>0.39</v>
      </c>
      <c r="J19" s="5" t="inlineStr">
        <is>
          <t>risk</t>
        </is>
      </c>
      <c r="K19" s="6" t="n"/>
      <c r="L19" s="7">
        <f>IF(K19="","",IFERROR(MAX(0,MIN(10,ROUND(IF(J19="protective",10-10*((IF(G19="Logarithm",LN(0.001+K19),IF(G19="Exponential",EXP(K19),K19)))-H19)/(I19-H19),10*((IF(G19="Logarithm",LN(0.001+K19),IF(G19="Exponential",EXP(K19),K19)))-H19)/(I19-H19)),1))),"No data"))</f>
        <v/>
      </c>
    </row>
    <row r="20">
      <c r="A20" s="5" t="inlineStr">
        <is>
          <t>NBS</t>
        </is>
      </c>
      <c r="B20" s="5" t="inlineStr">
        <is>
          <t>Vulnerability</t>
        </is>
      </c>
      <c r="C20" s="5" t="inlineStr">
        <is>
          <t>Socio-Economics / Development &amp; Poverty</t>
        </is>
      </c>
      <c r="D20" s="5" t="inlineStr">
        <is>
          <t>Wealth Inequality</t>
        </is>
      </c>
      <c r="E20" s="5" t="inlineStr">
        <is>
          <t>index</t>
        </is>
      </c>
      <c r="F20" s="5" t="inlineStr">
        <is>
          <t>Adm1</t>
        </is>
      </c>
      <c r="G20" s="5" t="inlineStr">
        <is>
          <t>None</t>
        </is>
      </c>
      <c r="H20" s="5" t="n">
        <v>0.16</v>
      </c>
      <c r="I20" s="5" t="n">
        <v>0.44</v>
      </c>
      <c r="J20" s="5" t="inlineStr">
        <is>
          <t>risk</t>
        </is>
      </c>
      <c r="K20" s="6" t="n"/>
      <c r="L20" s="7">
        <f>IF(K20="","",IFERROR(MAX(0,MIN(10,ROUND(IF(J20="protective",10-10*((IF(G20="Logarithm",LN(0.001+K20),IF(G20="Exponential",EXP(K20),K20)))-H20)/(I20-H20),10*((IF(G20="Logarithm",LN(0.001+K20),IF(G20="Exponential",EXP(K20),K20)))-H20)/(I20-H20)),1))),"No data"))</f>
        <v/>
      </c>
    </row>
    <row r="21">
      <c r="A21" s="5" t="inlineStr">
        <is>
          <t>NBS/MoFP</t>
        </is>
      </c>
      <c r="B21" s="5" t="inlineStr">
        <is>
          <t>Vulnerability</t>
        </is>
      </c>
      <c r="C21" s="5" t="inlineStr">
        <is>
          <t>Socio-Economics / Economic Dependency</t>
        </is>
      </c>
      <c r="D21" s="5" t="inlineStr">
        <is>
          <t>Dependency Ratio</t>
        </is>
      </c>
      <c r="E21" s="5" t="inlineStr">
        <is>
          <t>ratio</t>
        </is>
      </c>
      <c r="F21" s="5" t="inlineStr">
        <is>
          <t>Adm1</t>
        </is>
      </c>
      <c r="G21" s="5" t="inlineStr">
        <is>
          <t>None</t>
        </is>
      </c>
      <c r="H21" s="5" t="n">
        <v>55</v>
      </c>
      <c r="I21" s="5" t="n">
        <v>121.8</v>
      </c>
      <c r="J21" s="5" t="inlineStr">
        <is>
          <t>risk</t>
        </is>
      </c>
      <c r="K21" s="6" t="n"/>
      <c r="L21" s="7">
        <f>IF(K21="","",IFERROR(MAX(0,MIN(10,ROUND(IF(J21="protective",10-10*((IF(G21="Logarithm",LN(0.001+K21),IF(G21="Exponential",EXP(K21),K21)))-H21)/(I21-H21),10*((IF(G21="Logarithm",LN(0.001+K21),IF(G21="Exponential",EXP(K21),K21)))-H21)/(I21-H21)),1))),"No data"))</f>
        <v/>
      </c>
    </row>
    <row r="22">
      <c r="A22" s="5" t="inlineStr">
        <is>
          <t>NBS/MoFP</t>
        </is>
      </c>
      <c r="B22" s="5" t="inlineStr">
        <is>
          <t>Vulnerability</t>
        </is>
      </c>
      <c r="C22" s="5" t="inlineStr">
        <is>
          <t>Socio-Economics / Economic Dependency</t>
        </is>
      </c>
      <c r="D22" s="5" t="inlineStr">
        <is>
          <t>Net ODA received (% of GNI)</t>
        </is>
      </c>
      <c r="E22" s="5" t="inlineStr">
        <is>
          <t>%</t>
        </is>
      </c>
      <c r="F22" s="5" t="inlineStr">
        <is>
          <t>National</t>
        </is>
      </c>
      <c r="G22" s="5" t="inlineStr">
        <is>
          <t>None</t>
        </is>
      </c>
      <c r="H22" s="5" t="n">
        <v>0.2</v>
      </c>
      <c r="I22" s="5" t="n">
        <v>14.5</v>
      </c>
      <c r="J22" s="5" t="inlineStr">
        <is>
          <t>risk</t>
        </is>
      </c>
      <c r="K22" s="6" t="n"/>
      <c r="L22" s="7">
        <f>IF(K22="","",IFERROR(MAX(0,MIN(10,ROUND(IF(J22="protective",10-10*((IF(G22="Logarithm",LN(0.001+K22),IF(G22="Exponential",EXP(K22),K22)))-H22)/(I22-H22),10*((IF(G22="Logarithm",LN(0.001+K22),IF(G22="Exponential",EXP(K22),K22)))-H22)/(I22-H22)),1))),"No data"))</f>
        <v/>
      </c>
    </row>
    <row r="23">
      <c r="A23" s="5" t="inlineStr">
        <is>
          <t>NBS/MoFP</t>
        </is>
      </c>
      <c r="B23" s="5" t="inlineStr">
        <is>
          <t>Vulnerability</t>
        </is>
      </c>
      <c r="C23" s="5" t="inlineStr">
        <is>
          <t>Socio-Economics / Economic Dependency</t>
        </is>
      </c>
      <c r="D23" s="5" t="inlineStr">
        <is>
          <t>Personal remittances</t>
        </is>
      </c>
      <c r="E23" s="5" t="inlineStr">
        <is>
          <t>%</t>
        </is>
      </c>
      <c r="F23" s="5" t="inlineStr">
        <is>
          <t>National</t>
        </is>
      </c>
      <c r="G23" s="5" t="inlineStr">
        <is>
          <t>None</t>
        </is>
      </c>
      <c r="H23" s="5" t="n">
        <v>0</v>
      </c>
      <c r="I23" s="5" t="n">
        <v>6.4</v>
      </c>
      <c r="J23" s="5" t="inlineStr">
        <is>
          <t>risk</t>
        </is>
      </c>
      <c r="K23" s="6" t="n"/>
      <c r="L23" s="7">
        <f>IF(K23="","",IFERROR(MAX(0,MIN(10,ROUND(IF(J23="protective",10-10*((IF(G23="Logarithm",LN(0.001+MAX(MIN(K23,0.67),0.67)),IF(G23="Exponential",EXP(MAX(MIN(K23,0.67),0.67)),MAX(MIN(K23,0.67),0.67))))-H23)/(I23-H23),10*((IF(G23="Logarithm",LN(0.001+MAX(MIN(K23,0.67),0.67)),IF(G23="Exponential",EXP(MAX(MIN(K23,0.67),0.67)),MAX(MIN(K23,0.67),0.67))))-H23)/(I23-H23)),1))),"No data"))</f>
        <v/>
      </c>
    </row>
    <row r="24">
      <c r="A24" s="5" t="inlineStr">
        <is>
          <t>NBS</t>
        </is>
      </c>
      <c r="B24" s="5" t="inlineStr">
        <is>
          <t>Vulnerability</t>
        </is>
      </c>
      <c r="C24" s="5" t="inlineStr">
        <is>
          <t>Socio-Economics / Habitat</t>
        </is>
      </c>
      <c r="D24" s="5" t="inlineStr">
        <is>
          <t>Population in informal settlements</t>
        </is>
      </c>
      <c r="E24" s="5" t="inlineStr">
        <is>
          <t>%</t>
        </is>
      </c>
      <c r="F24" s="5" t="inlineStr">
        <is>
          <t>National</t>
        </is>
      </c>
      <c r="G24" s="5" t="inlineStr">
        <is>
          <t>None</t>
        </is>
      </c>
      <c r="H24" s="5" t="n">
        <v>17</v>
      </c>
      <c r="I24" s="5" t="n">
        <v>78.40000000000001</v>
      </c>
      <c r="J24" s="5" t="inlineStr">
        <is>
          <t>risk</t>
        </is>
      </c>
      <c r="K24" s="6" t="n"/>
      <c r="L24" s="7">
        <f>IF(K24="","",IFERROR(MAX(0,MIN(10,ROUND(IF(J24="protective",10-10*((IF(G24="Logarithm",LN(0.001+K24),IF(G24="Exponential",EXP(K24),K24)))-H24)/(I24-H24),10*((IF(G24="Logarithm",LN(0.001+K24),IF(G24="Exponential",EXP(K24),K24)))-H24)/(I24-H24)),1))),"No data"))</f>
        <v/>
      </c>
    </row>
    <row r="25">
      <c r="A25" s="5" t="inlineStr">
        <is>
          <t>NBS</t>
        </is>
      </c>
      <c r="B25" s="5" t="inlineStr">
        <is>
          <t>Vulnerability</t>
        </is>
      </c>
      <c r="C25" s="5" t="inlineStr">
        <is>
          <t>Socio-Economics / Habitat</t>
        </is>
      </c>
      <c r="D25" s="5" t="inlineStr">
        <is>
          <t>Urban Population</t>
        </is>
      </c>
      <c r="E25" s="5" t="inlineStr">
        <is>
          <t>%</t>
        </is>
      </c>
      <c r="F25" s="5" t="inlineStr">
        <is>
          <t>Adm1</t>
        </is>
      </c>
      <c r="G25" s="5" t="inlineStr">
        <is>
          <t>None</t>
        </is>
      </c>
      <c r="H25" s="5" t="n">
        <v>6.3</v>
      </c>
      <c r="I25" s="5" t="n">
        <v>100</v>
      </c>
      <c r="J25" s="5" t="inlineStr">
        <is>
          <t>risk</t>
        </is>
      </c>
      <c r="K25" s="6" t="n"/>
      <c r="L25" s="7">
        <f>IF(K25="","",IFERROR(MAX(0,MIN(10,ROUND(IF(J25="protective",10-10*((IF(G25="Logarithm",LN(0.001+K25),IF(G25="Exponential",EXP(K25),K25)))-H25)/(I25-H25),10*((IF(G25="Logarithm",LN(0.001+K25),IF(G25="Exponential",EXP(K25),K25)))-H25)/(I25-H25)),1))),"No data"))</f>
        <v/>
      </c>
    </row>
    <row r="26">
      <c r="A26" s="5" t="inlineStr">
        <is>
          <t>MUCHALI/IPC</t>
        </is>
      </c>
      <c r="B26" s="5" t="inlineStr">
        <is>
          <t>Vulnerability</t>
        </is>
      </c>
      <c r="C26" s="5" t="inlineStr">
        <is>
          <t>Socio-Economics / Livelihoods</t>
        </is>
      </c>
      <c r="D26" s="5" t="inlineStr">
        <is>
          <t>Food Security - Insufficient food</t>
        </is>
      </c>
      <c r="E26" s="5" t="inlineStr">
        <is>
          <t>% pop phase 2 or higher</t>
        </is>
      </c>
      <c r="F26" s="5" t="inlineStr">
        <is>
          <t>Adm1</t>
        </is>
      </c>
      <c r="G26" s="5" t="inlineStr">
        <is>
          <t>None</t>
        </is>
      </c>
      <c r="H26" s="5" t="n">
        <v>0</v>
      </c>
      <c r="I26" s="5" t="n">
        <v>149</v>
      </c>
      <c r="J26" s="5" t="inlineStr">
        <is>
          <t>risk</t>
        </is>
      </c>
      <c r="K26" s="6" t="n"/>
      <c r="L26" s="7">
        <f>IF(K26="","",IFERROR(MAX(0,MIN(10,ROUND(IF(J26="protective",10-10*((IF(G26="Logarithm",LN(0.001+K26),IF(G26="Exponential",EXP(K26),K26)))-H26)/(I26-H26),10*((IF(G26="Logarithm",LN(0.001+K26),IF(G26="Exponential",EXP(K26),K26)))-H26)/(I26-H26)),1))),"No data"))</f>
        <v/>
      </c>
    </row>
    <row r="27">
      <c r="A27" s="5" t="inlineStr">
        <is>
          <t>MoH/TFNC</t>
        </is>
      </c>
      <c r="B27" s="5" t="inlineStr">
        <is>
          <t>Vulnerability</t>
        </is>
      </c>
      <c r="C27" s="5" t="inlineStr">
        <is>
          <t>Vulnerable Groups / Children Health and Nutrition</t>
        </is>
      </c>
      <c r="D27" s="5" t="inlineStr">
        <is>
          <t>Child mortality</t>
        </is>
      </c>
      <c r="E27" s="5" t="inlineStr">
        <is>
          <t xml:space="preserve">per 1,000 live births </t>
        </is>
      </c>
      <c r="F27" s="5" t="inlineStr">
        <is>
          <t>Adm1</t>
        </is>
      </c>
      <c r="G27" s="5" t="inlineStr">
        <is>
          <t>None</t>
        </is>
      </c>
      <c r="H27" s="5" t="n">
        <v>3.68</v>
      </c>
      <c r="I27" s="5" t="n">
        <v>42.48</v>
      </c>
      <c r="J27" s="5" t="inlineStr">
        <is>
          <t>risk</t>
        </is>
      </c>
      <c r="K27" s="6" t="n"/>
      <c r="L27" s="7">
        <f>IF(K27="","",IFERROR(MAX(0,MIN(10,ROUND(IF(J27="protective",10-10*((IF(G27="Logarithm",LN(0.001+K27),IF(G27="Exponential",EXP(K27),K27)))-H27)/(I27-H27),10*((IF(G27="Logarithm",LN(0.001+K27),IF(G27="Exponential",EXP(K27),K27)))-H27)/(I27-H27)),1))),"No data"))</f>
        <v/>
      </c>
    </row>
    <row r="28">
      <c r="A28" s="5" t="inlineStr">
        <is>
          <t>MoH/TFNC</t>
        </is>
      </c>
      <c r="B28" s="5" t="inlineStr">
        <is>
          <t>Vulnerability</t>
        </is>
      </c>
      <c r="C28" s="5" t="inlineStr">
        <is>
          <t>Vulnerable Groups / Children Health and Nutrition</t>
        </is>
      </c>
      <c r="D28" s="5" t="inlineStr">
        <is>
          <t>Children Underweight</t>
        </is>
      </c>
      <c r="E28" s="5" t="inlineStr">
        <is>
          <t>%</t>
        </is>
      </c>
      <c r="F28" s="5" t="inlineStr">
        <is>
          <t>Adm1</t>
        </is>
      </c>
      <c r="G28" s="5" t="inlineStr">
        <is>
          <t>None</t>
        </is>
      </c>
      <c r="H28" s="5" t="n">
        <v>6.2</v>
      </c>
      <c r="I28" s="5" t="n">
        <v>20</v>
      </c>
      <c r="J28" s="5" t="inlineStr">
        <is>
          <t>risk</t>
        </is>
      </c>
      <c r="K28" s="6" t="n"/>
      <c r="L28" s="7">
        <f>IF(K28="","",IFERROR(MAX(0,MIN(10,ROUND(IF(J28="protective",10-10*((IF(G28="Logarithm",LN(0.001+K28),IF(G28="Exponential",EXP(K28),K28)))-H28)/(I28-H28),10*((IF(G28="Logarithm",LN(0.001+K28),IF(G28="Exponential",EXP(K28),K28)))-H28)/(I28-H28)),1))),"No data"))</f>
        <v/>
      </c>
    </row>
    <row r="29">
      <c r="A29" s="5" t="inlineStr">
        <is>
          <t>MoH/TFNC</t>
        </is>
      </c>
      <c r="B29" s="5" t="inlineStr">
        <is>
          <t>Vulnerability</t>
        </is>
      </c>
      <c r="C29" s="5" t="inlineStr">
        <is>
          <t>Vulnerable Groups / Children Health and Nutrition</t>
        </is>
      </c>
      <c r="D29" s="5" t="inlineStr">
        <is>
          <t>Infant mortality</t>
        </is>
      </c>
      <c r="E29" s="5" t="inlineStr">
        <is>
          <t xml:space="preserve">per 1,000 live births </t>
        </is>
      </c>
      <c r="F29" s="5" t="inlineStr">
        <is>
          <t>Adm1</t>
        </is>
      </c>
      <c r="G29" s="5" t="inlineStr">
        <is>
          <t>None</t>
        </is>
      </c>
      <c r="H29" s="5" t="n">
        <v>28.27</v>
      </c>
      <c r="I29" s="5" t="n">
        <v>76.56999999999999</v>
      </c>
      <c r="J29" s="5" t="inlineStr">
        <is>
          <t>risk</t>
        </is>
      </c>
      <c r="K29" s="6" t="n"/>
      <c r="L29" s="7">
        <f>IF(K29="","",IFERROR(MAX(0,MIN(10,ROUND(IF(J29="protective",10-10*((IF(G29="Logarithm",LN(0.001+K29),IF(G29="Exponential",EXP(K29),K29)))-H29)/(I29-H29),10*((IF(G29="Logarithm",LN(0.001+K29),IF(G29="Exponential",EXP(K29),K29)))-H29)/(I29-H29)),1))),"No data"))</f>
        <v/>
      </c>
    </row>
    <row r="30">
      <c r="A30" s="5" t="inlineStr">
        <is>
          <t>MoH/TFNC</t>
        </is>
      </c>
      <c r="B30" s="5" t="inlineStr">
        <is>
          <t>Vulnerability</t>
        </is>
      </c>
      <c r="C30" s="5" t="inlineStr">
        <is>
          <t>Vulnerable Groups / Children Health and Nutrition</t>
        </is>
      </c>
      <c r="D30" s="5" t="inlineStr">
        <is>
          <t>Neonatal mortality</t>
        </is>
      </c>
      <c r="E30" s="5" t="inlineStr">
        <is>
          <t xml:space="preserve">per 1,000 live births </t>
        </is>
      </c>
      <c r="F30" s="5" t="inlineStr">
        <is>
          <t>Adm1</t>
        </is>
      </c>
      <c r="G30" s="5" t="inlineStr">
        <is>
          <t>None</t>
        </is>
      </c>
      <c r="H30" s="5" t="n">
        <v>10.05</v>
      </c>
      <c r="I30" s="5" t="n">
        <v>49.95</v>
      </c>
      <c r="J30" s="5" t="inlineStr">
        <is>
          <t>risk</t>
        </is>
      </c>
      <c r="K30" s="6" t="n"/>
      <c r="L30" s="7">
        <f>IF(K30="","",IFERROR(MAX(0,MIN(10,ROUND(IF(J30="protective",10-10*((IF(G30="Logarithm",LN(0.001+K30),IF(G30="Exponential",EXP(K30),K30)))-H30)/(I30-H30),10*((IF(G30="Logarithm",LN(0.001+K30),IF(G30="Exponential",EXP(K30),K30)))-H30)/(I30-H30)),1))),"No data"))</f>
        <v/>
      </c>
    </row>
    <row r="31">
      <c r="A31" s="5" t="inlineStr">
        <is>
          <t>UNHCR/PMO-DMD</t>
        </is>
      </c>
      <c r="B31" s="5" t="inlineStr">
        <is>
          <t>Vulnerability</t>
        </is>
      </c>
      <c r="C31" s="5" t="inlineStr">
        <is>
          <t>Vulnerable Groups / Displaced People</t>
        </is>
      </c>
      <c r="D31" s="5" t="inlineStr">
        <is>
          <t>Internal Displaced People</t>
        </is>
      </c>
      <c r="E31" s="5" t="inlineStr">
        <is>
          <t>number of people</t>
        </is>
      </c>
      <c r="F31" s="5" t="inlineStr">
        <is>
          <t>Adm1</t>
        </is>
      </c>
      <c r="G31" s="5" t="inlineStr">
        <is>
          <t>Logarithm</t>
        </is>
      </c>
      <c r="H31" s="5" t="n">
        <v>-6.907755279</v>
      </c>
      <c r="I31" s="5" t="n">
        <v>10.31161581</v>
      </c>
      <c r="J31" s="5" t="inlineStr">
        <is>
          <t>risk</t>
        </is>
      </c>
      <c r="K31" s="6" t="n"/>
      <c r="L31" s="7">
        <f>IF(K31="","",IFERROR(MAX(0,MIN(10,ROUND(IF(J31="protective",10-10*((IF(G31="Logarithm",LN(0.001+K31),IF(G31="Exponential",EXP(K31),K31)))-H31)/(I31-H31),10*((IF(G31="Logarithm",LN(0.001+K31),IF(G31="Exponential",EXP(K31),K31)))-H31)/(I31-H31)),1))),"No data"))</f>
        <v/>
      </c>
    </row>
    <row r="32">
      <c r="A32" s="5" t="inlineStr">
        <is>
          <t>MoH</t>
        </is>
      </c>
      <c r="B32" s="5" t="inlineStr">
        <is>
          <t>Vulnerability</t>
        </is>
      </c>
      <c r="C32" s="5" t="inlineStr">
        <is>
          <t>Vulnerable Groups / Health Conditions</t>
        </is>
      </c>
      <c r="D32" s="5" t="inlineStr">
        <is>
          <t>Life Expectancy</t>
        </is>
      </c>
      <c r="E32" s="5" t="inlineStr">
        <is>
          <t>years</t>
        </is>
      </c>
      <c r="F32" s="5" t="inlineStr">
        <is>
          <t>National</t>
        </is>
      </c>
      <c r="G32" s="5" t="inlineStr">
        <is>
          <t>None</t>
        </is>
      </c>
      <c r="H32" s="5" t="n">
        <v>63.94</v>
      </c>
      <c r="I32" s="5" t="n">
        <v>72.08</v>
      </c>
      <c r="J32" s="5" t="inlineStr">
        <is>
          <t>protective</t>
        </is>
      </c>
      <c r="K32" s="6" t="n"/>
      <c r="L32" s="7">
        <f>IF(K32="","",IFERROR(MAX(0,MIN(10,ROUND(IF(J32="protective",10-10*((IF(G32="Logarithm",LN(0.001+K32),IF(G32="Exponential",EXP(K32),K32)))-H32)/(I32-H32),10*((IF(G32="Logarithm",LN(0.001+K32),IF(G32="Exponential",EXP(K32),K32)))-H32)/(I32-H32)),1))),"No data"))</f>
        <v/>
      </c>
    </row>
    <row r="33">
      <c r="A33" s="5" t="inlineStr">
        <is>
          <t>MoH</t>
        </is>
      </c>
      <c r="B33" s="5" t="inlineStr">
        <is>
          <t>Vulnerability</t>
        </is>
      </c>
      <c r="C33" s="5" t="inlineStr">
        <is>
          <t>Vulnerable Groups / Health Conditions</t>
        </is>
      </c>
      <c r="D33" s="5" t="inlineStr">
        <is>
          <t>Malaria prevalence</t>
        </is>
      </c>
      <c r="E33" s="5" t="inlineStr">
        <is>
          <t>max malaria prevalence per person</t>
        </is>
      </c>
      <c r="F33" s="5" t="inlineStr">
        <is>
          <t>Adm1</t>
        </is>
      </c>
      <c r="G33" s="5" t="inlineStr">
        <is>
          <t>None</t>
        </is>
      </c>
      <c r="H33" s="5" t="n">
        <v>0.11</v>
      </c>
      <c r="I33" s="5" t="n">
        <v>0.37</v>
      </c>
      <c r="J33" s="5" t="inlineStr">
        <is>
          <t>risk</t>
        </is>
      </c>
      <c r="K33" s="6" t="n"/>
      <c r="L33" s="7">
        <f>IF(K33="","",IFERROR(MAX(0,MIN(10,ROUND(IF(J33="protective",10-10*((IF(G33="Logarithm",LN(0.001+K33),IF(G33="Exponential",EXP(K33),K33)))-H33)/(I33-H33),10*((IF(G33="Logarithm",LN(0.001+K33),IF(G33="Exponential",EXP(K33),K33)))-H33)/(I33-H33)),1))),"No data"))</f>
        <v/>
      </c>
    </row>
    <row r="34">
      <c r="A34" s="5" t="inlineStr">
        <is>
          <t>MoH</t>
        </is>
      </c>
      <c r="B34" s="5" t="inlineStr">
        <is>
          <t>Vulnerability</t>
        </is>
      </c>
      <c r="C34" s="5" t="inlineStr">
        <is>
          <t>Vulnerable Groups / Health Conditions</t>
        </is>
      </c>
      <c r="D34" s="5" t="inlineStr">
        <is>
          <t>Measles Incidence</t>
        </is>
      </c>
      <c r="E34" s="5" t="inlineStr">
        <is>
          <t>per 1,000,000 population</t>
        </is>
      </c>
      <c r="F34" s="5" t="inlineStr">
        <is>
          <t>National</t>
        </is>
      </c>
      <c r="G34" s="5" t="inlineStr">
        <is>
          <t>None</t>
        </is>
      </c>
      <c r="H34" s="5" t="n">
        <v>2.9</v>
      </c>
      <c r="I34" s="5" t="n">
        <v>1595.4</v>
      </c>
      <c r="J34" s="5" t="inlineStr">
        <is>
          <t>risk</t>
        </is>
      </c>
      <c r="K34" s="6" t="n"/>
      <c r="L34" s="7">
        <f>IF(K34="","",IFERROR(MAX(0,MIN(10,ROUND(IF(J34="protective",10-10*((IF(G34="Logarithm",LN(0.001+K34),IF(G34="Exponential",EXP(K34),K34)))-H34)/(I34-H34),10*((IF(G34="Logarithm",LN(0.001+K34),IF(G34="Exponential",EXP(K34),K34)))-H34)/(I34-H34)),1))),"No data"))</f>
        <v/>
      </c>
    </row>
    <row r="35">
      <c r="A35" s="5" t="inlineStr">
        <is>
          <t>MoH</t>
        </is>
      </c>
      <c r="B35" s="5" t="inlineStr">
        <is>
          <t>Coping Capacity</t>
        </is>
      </c>
      <c r="C35" s="5" t="inlineStr">
        <is>
          <t>Infrastructure / Access to health care</t>
        </is>
      </c>
      <c r="D35" s="5" t="inlineStr">
        <is>
          <t>BCG Immunization Coverage</t>
        </is>
      </c>
      <c r="E35" s="5" t="inlineStr">
        <is>
          <t>%</t>
        </is>
      </c>
      <c r="F35" s="5" t="inlineStr">
        <is>
          <t>Adm1</t>
        </is>
      </c>
      <c r="G35" s="5" t="inlineStr">
        <is>
          <t>None</t>
        </is>
      </c>
      <c r="H35" s="5" t="n">
        <v>90.40000000000001</v>
      </c>
      <c r="I35" s="5" t="n">
        <v>100</v>
      </c>
      <c r="J35" s="5" t="inlineStr">
        <is>
          <t>protective</t>
        </is>
      </c>
      <c r="K35" s="6" t="n"/>
      <c r="L35" s="7">
        <f>IF(K35="","",IFERROR(MAX(0,MIN(10,ROUND(IF(J35="protective",10-10*((IF(G35="Logarithm",LN(0.001+K35),IF(G35="Exponential",EXP(K35),K35)))-H35)/(I35-H35),10*((IF(G35="Logarithm",LN(0.001+K35),IF(G35="Exponential",EXP(K35),K35)))-H35)/(I35-H35)),1))),"No data"))</f>
        <v/>
      </c>
    </row>
    <row r="36">
      <c r="A36" s="5" t="inlineStr">
        <is>
          <t>MoH</t>
        </is>
      </c>
      <c r="B36" s="5" t="inlineStr">
        <is>
          <t>Coping Capacity</t>
        </is>
      </c>
      <c r="C36" s="5" t="inlineStr">
        <is>
          <t>Infrastructure / Access to health care</t>
        </is>
      </c>
      <c r="D36" s="5" t="inlineStr">
        <is>
          <t>DTP3 Immunization Coverage</t>
        </is>
      </c>
      <c r="E36" s="5" t="inlineStr">
        <is>
          <t>%</t>
        </is>
      </c>
      <c r="F36" s="5" t="inlineStr">
        <is>
          <t>Adm1</t>
        </is>
      </c>
      <c r="G36" s="5" t="inlineStr">
        <is>
          <t>None</t>
        </is>
      </c>
      <c r="H36" s="5" t="n">
        <v>69.90000000000001</v>
      </c>
      <c r="I36" s="5" t="n">
        <v>98.59999999999999</v>
      </c>
      <c r="J36" s="5" t="inlineStr">
        <is>
          <t>protective</t>
        </is>
      </c>
      <c r="K36" s="6" t="n"/>
      <c r="L36" s="7">
        <f>IF(K36="","",IFERROR(MAX(0,MIN(10,ROUND(IF(J36="protective",10-10*((IF(G36="Logarithm",LN(0.001+K36),IF(G36="Exponential",EXP(K36),K36)))-H36)/(I36-H36),10*((IF(G36="Logarithm",LN(0.001+K36),IF(G36="Exponential",EXP(K36),K36)))-H36)/(I36-H36)),1))),"No data"))</f>
        <v/>
      </c>
    </row>
    <row r="37">
      <c r="A37" s="5" t="inlineStr">
        <is>
          <t>MoH</t>
        </is>
      </c>
      <c r="B37" s="5" t="inlineStr">
        <is>
          <t>Coping Capacity</t>
        </is>
      </c>
      <c r="C37" s="5" t="inlineStr">
        <is>
          <t>Infrastructure / Access to health care</t>
        </is>
      </c>
      <c r="D37" s="5" t="inlineStr">
        <is>
          <t>Density of health facilities</t>
        </is>
      </c>
      <c r="E37" s="5" t="inlineStr">
        <is>
          <t>per capita</t>
        </is>
      </c>
      <c r="F37" s="5" t="inlineStr">
        <is>
          <t>Adm1</t>
        </is>
      </c>
      <c r="G37" s="5" t="inlineStr">
        <is>
          <t>None</t>
        </is>
      </c>
      <c r="H37" s="5" t="n">
        <v>0</v>
      </c>
      <c r="I37" s="5" t="n">
        <v>0</v>
      </c>
      <c r="J37" s="5" t="inlineStr">
        <is>
          <t>protective</t>
        </is>
      </c>
      <c r="K37" s="6" t="n"/>
      <c r="L37" s="7">
        <f>IF(K37="","",IFERROR(MAX(0,MIN(10,ROUND(IF(J37="protective",10-10*((IF(G37="Logarithm",LN(0.001+K37),IF(G37="Exponential",EXP(K37),K37)))-H37)/(I37-H37),10*((IF(G37="Logarithm",LN(0.001+K37),IF(G37="Exponential",EXP(K37),K37)))-H37)/(I37-H37)),1))),"No data"))</f>
        <v/>
      </c>
    </row>
    <row r="38">
      <c r="A38" s="5" t="inlineStr">
        <is>
          <t>MoH</t>
        </is>
      </c>
      <c r="B38" s="5" t="inlineStr">
        <is>
          <t>Coping Capacity</t>
        </is>
      </c>
      <c r="C38" s="5" t="inlineStr">
        <is>
          <t>Infrastructure / Access to health care</t>
        </is>
      </c>
      <c r="D38" s="5" t="inlineStr">
        <is>
          <t>Health expenditure per capita</t>
        </is>
      </c>
      <c r="E38" s="5" t="inlineStr">
        <is>
          <t>US$ per capita</t>
        </is>
      </c>
      <c r="F38" s="5" t="inlineStr">
        <is>
          <t>National</t>
        </is>
      </c>
      <c r="G38" s="5" t="inlineStr">
        <is>
          <t>None</t>
        </is>
      </c>
      <c r="H38" s="5" t="n">
        <v>19.3</v>
      </c>
      <c r="I38" s="5" t="n">
        <v>758.2</v>
      </c>
      <c r="J38" s="5" t="inlineStr">
        <is>
          <t>protective</t>
        </is>
      </c>
      <c r="K38" s="6" t="n"/>
      <c r="L38" s="7">
        <f>IF(K38="","",IFERROR(MAX(0,MIN(10,ROUND(IF(J38="protective",10-10*((IF(G38="Logarithm",LN(0.001+K38),IF(G38="Exponential",EXP(K38),K38)))-H38)/(I38-H38),10*((IF(G38="Logarithm",LN(0.001+K38),IF(G38="Exponential",EXP(K38),K38)))-H38)/(I38-H38)),1))),"No data"))</f>
        <v/>
      </c>
    </row>
    <row r="39">
      <c r="A39" s="5" t="inlineStr">
        <is>
          <t>MoH</t>
        </is>
      </c>
      <c r="B39" s="5" t="inlineStr">
        <is>
          <t>Coping Capacity</t>
        </is>
      </c>
      <c r="C39" s="5" t="inlineStr">
        <is>
          <t>Infrastructure / Access to health care</t>
        </is>
      </c>
      <c r="D39" s="5" t="inlineStr">
        <is>
          <t>Measles Immunization Coverage</t>
        </is>
      </c>
      <c r="E39" s="5" t="inlineStr">
        <is>
          <t>%</t>
        </is>
      </c>
      <c r="F39" s="5" t="inlineStr">
        <is>
          <t>Adm1</t>
        </is>
      </c>
      <c r="G39" s="5" t="inlineStr">
        <is>
          <t>None</t>
        </is>
      </c>
      <c r="H39" s="5" t="n">
        <v>75.80887488</v>
      </c>
      <c r="I39" s="5" t="n">
        <v>100</v>
      </c>
      <c r="J39" s="5" t="inlineStr">
        <is>
          <t>protective</t>
        </is>
      </c>
      <c r="K39" s="6" t="n"/>
      <c r="L39" s="7">
        <f>IF(K39="","",IFERROR(MAX(0,MIN(10,ROUND(IF(J39="protective",10-10*((IF(G39="Logarithm",LN(0.001+K39),IF(G39="Exponential",EXP(K39),K39)))-H39)/(I39-H39),10*((IF(G39="Logarithm",LN(0.001+K39),IF(G39="Exponential",EXP(K39),K39)))-H39)/(I39-H39)),1))),"No data"))</f>
        <v/>
      </c>
    </row>
    <row r="40">
      <c r="A40" s="5" t="inlineStr">
        <is>
          <t>MoH</t>
        </is>
      </c>
      <c r="B40" s="5" t="inlineStr">
        <is>
          <t>Coping Capacity</t>
        </is>
      </c>
      <c r="C40" s="5" t="inlineStr">
        <is>
          <t>Infrastructure / Access to health care</t>
        </is>
      </c>
      <c r="D40" s="5" t="inlineStr">
        <is>
          <t>Physicians density</t>
        </is>
      </c>
      <c r="E40" s="5" t="inlineStr">
        <is>
          <t>per 10,000 population</t>
        </is>
      </c>
      <c r="F40" s="5" t="inlineStr">
        <is>
          <t>National</t>
        </is>
      </c>
      <c r="G40" s="5" t="inlineStr">
        <is>
          <t>None</t>
        </is>
      </c>
      <c r="H40" s="5" t="n">
        <v>0.5</v>
      </c>
      <c r="I40" s="5" t="n">
        <v>6.8</v>
      </c>
      <c r="J40" s="5" t="inlineStr">
        <is>
          <t>protective</t>
        </is>
      </c>
      <c r="K40" s="6" t="n"/>
      <c r="L40" s="7">
        <f>IF(K40="","",IFERROR(MAX(0,MIN(10,ROUND(IF(J40="protective",10-10*((IF(G40="Logarithm",LN(0.001+MAX(MIN(K40,0.5),0.5)),IF(G40="Exponential",EXP(MAX(MIN(K40,0.5),0.5)),MAX(MIN(K40,0.5),0.5))))-H40)/(I40-H40),10*((IF(G40="Logarithm",LN(0.001+MAX(MIN(K40,0.5),0.5)),IF(G40="Exponential",EXP(MAX(MIN(K40,0.5),0.5)),MAX(MIN(K40,0.5),0.5))))-H40)/(I40-H40)),1))),"No data"))</f>
        <v/>
      </c>
    </row>
    <row r="41">
      <c r="A41" s="5" t="inlineStr">
        <is>
          <t>TCRA</t>
        </is>
      </c>
      <c r="B41" s="5" t="inlineStr">
        <is>
          <t>Coping Capacity</t>
        </is>
      </c>
      <c r="C41" s="5" t="inlineStr">
        <is>
          <t>Infrastructure / Communication</t>
        </is>
      </c>
      <c r="D41" s="5" t="inlineStr">
        <is>
          <t>Access to electricity</t>
        </is>
      </c>
      <c r="E41" s="5" t="inlineStr">
        <is>
          <t>%</t>
        </is>
      </c>
      <c r="F41" s="5" t="inlineStr">
        <is>
          <t>Adm1</t>
        </is>
      </c>
      <c r="G41" s="5" t="inlineStr">
        <is>
          <t>None</t>
        </is>
      </c>
      <c r="H41" s="5" t="n">
        <v>8.699999999999999</v>
      </c>
      <c r="I41" s="5" t="n">
        <v>100</v>
      </c>
      <c r="J41" s="5" t="inlineStr">
        <is>
          <t>protective</t>
        </is>
      </c>
      <c r="K41" s="6" t="n"/>
      <c r="L41" s="7">
        <f>IF(K41="","",IFERROR(MAX(0,MIN(10,ROUND(IF(J41="protective",10-10*((IF(G41="Logarithm",LN(0.001+K41),IF(G41="Exponential",EXP(K41),K41)))-H41)/(I41-H41),10*((IF(G41="Logarithm",LN(0.001+K41),IF(G41="Exponential",EXP(K41),K41)))-H41)/(I41-H41)),1))),"No data"))</f>
        <v/>
      </c>
    </row>
    <row r="42">
      <c r="A42" s="5" t="inlineStr">
        <is>
          <t>TCRA</t>
        </is>
      </c>
      <c r="B42" s="5" t="inlineStr">
        <is>
          <t>Coping Capacity</t>
        </is>
      </c>
      <c r="C42" s="5" t="inlineStr">
        <is>
          <t>Infrastructure / Communication</t>
        </is>
      </c>
      <c r="D42" s="5" t="inlineStr">
        <is>
          <t>Cellphone ownership</t>
        </is>
      </c>
      <c r="E42" s="5" t="inlineStr">
        <is>
          <t>%</t>
        </is>
      </c>
      <c r="F42" s="5" t="inlineStr">
        <is>
          <t>Adm1</t>
        </is>
      </c>
      <c r="G42" s="5" t="inlineStr">
        <is>
          <t>None</t>
        </is>
      </c>
      <c r="H42" s="5" t="n">
        <v>57.09</v>
      </c>
      <c r="I42" s="5" t="n">
        <v>98.81999999999999</v>
      </c>
      <c r="J42" s="5" t="inlineStr">
        <is>
          <t>protective</t>
        </is>
      </c>
      <c r="K42" s="6" t="n"/>
      <c r="L42" s="7">
        <f>IF(K42="","",IFERROR(MAX(0,MIN(10,ROUND(IF(J42="protective",10-10*((IF(G42="Logarithm",LN(0.001+K42),IF(G42="Exponential",EXP(K42),K42)))-H42)/(I42-H42),10*((IF(G42="Logarithm",LN(0.001+K42),IF(G42="Exponential",EXP(K42),K42)))-H42)/(I42-H42)),1))),"No data"))</f>
        <v/>
      </c>
    </row>
    <row r="43">
      <c r="A43" s="5" t="inlineStr">
        <is>
          <t>TCRA</t>
        </is>
      </c>
      <c r="B43" s="5" t="inlineStr">
        <is>
          <t>Coping Capacity</t>
        </is>
      </c>
      <c r="C43" s="5" t="inlineStr">
        <is>
          <t>Infrastructure / Communication</t>
        </is>
      </c>
      <c r="D43" s="5" t="inlineStr">
        <is>
          <t>Internet access</t>
        </is>
      </c>
      <c r="E43" s="5" t="inlineStr">
        <is>
          <t>%</t>
        </is>
      </c>
      <c r="F43" s="5" t="inlineStr">
        <is>
          <t>Adm1</t>
        </is>
      </c>
      <c r="G43" s="5" t="inlineStr">
        <is>
          <t>None</t>
        </is>
      </c>
      <c r="H43" s="5" t="n">
        <v>0</v>
      </c>
      <c r="I43" s="5" t="n">
        <v>0</v>
      </c>
      <c r="J43" s="5" t="inlineStr">
        <is>
          <t>protective</t>
        </is>
      </c>
      <c r="K43" s="6" t="n"/>
      <c r="L43" s="7">
        <f>IF(K43="","",IFERROR(MAX(0,MIN(10,ROUND(IF(J43="protective",10-10*((IF(G43="Logarithm",LN(0.001+K43),IF(G43="Exponential",EXP(K43),K43)))-H43)/(I43-H43),10*((IF(G43="Logarithm",LN(0.001+K43),IF(G43="Exponential",EXP(K43),K43)))-H43)/(I43-H43)),1))),"No data"))</f>
        <v/>
      </c>
    </row>
    <row r="44">
      <c r="A44" s="5" t="inlineStr">
        <is>
          <t>NBS/MoFP</t>
        </is>
      </c>
      <c r="B44" s="5" t="inlineStr">
        <is>
          <t>Coping Capacity</t>
        </is>
      </c>
      <c r="C44" s="5" t="inlineStr">
        <is>
          <t>Infrastructure / Economic capacity</t>
        </is>
      </c>
      <c r="D44" s="5" t="inlineStr">
        <is>
          <t>Gross National Income per capita</t>
        </is>
      </c>
      <c r="E44" s="5" t="inlineStr">
        <is>
          <t>Log - Thousands of US$</t>
        </is>
      </c>
      <c r="F44" s="5" t="inlineStr">
        <is>
          <t>Adm1</t>
        </is>
      </c>
      <c r="G44" s="5" t="inlineStr">
        <is>
          <t>None</t>
        </is>
      </c>
      <c r="H44" s="5" t="n">
        <v>7.29</v>
      </c>
      <c r="I44" s="5" t="n">
        <v>8.970000000000001</v>
      </c>
      <c r="J44" s="5" t="inlineStr">
        <is>
          <t>protective</t>
        </is>
      </c>
      <c r="K44" s="6" t="n"/>
      <c r="L44" s="7">
        <f>IF(K44="","",IFERROR(MAX(0,MIN(10,ROUND(IF(J44="protective",10-10*((IF(G44="Logarithm",LN(0.001+K44),IF(G44="Exponential",EXP(K44),K44)))-H44)/(I44-H44),10*((IF(G44="Logarithm",LN(0.001+K44),IF(G44="Exponential",EXP(K44),K44)))-H44)/(I44-H44)),1))),"No data"))</f>
        <v/>
      </c>
    </row>
    <row r="45">
      <c r="A45" s="5" t="inlineStr">
        <is>
          <t>NBS/MoFP</t>
        </is>
      </c>
      <c r="B45" s="5" t="inlineStr">
        <is>
          <t>Coping Capacity</t>
        </is>
      </c>
      <c r="C45" s="5" t="inlineStr">
        <is>
          <t>Infrastructure / Economic capacity</t>
        </is>
      </c>
      <c r="D45" s="5" t="inlineStr">
        <is>
          <t>Household income</t>
        </is>
      </c>
      <c r="E45" s="5" t="inlineStr">
        <is>
          <t>US$ per capita</t>
        </is>
      </c>
      <c r="F45" s="5" t="inlineStr">
        <is>
          <t>National</t>
        </is>
      </c>
      <c r="G45" s="5" t="inlineStr">
        <is>
          <t>None</t>
        </is>
      </c>
      <c r="H45" s="5" t="n">
        <v>369.9</v>
      </c>
      <c r="I45" s="5" t="n">
        <v>12866.6</v>
      </c>
      <c r="J45" s="5" t="inlineStr">
        <is>
          <t>protective</t>
        </is>
      </c>
      <c r="K45" s="6" t="n"/>
      <c r="L45" s="7">
        <f>IF(K45="","",IFERROR(MAX(0,MIN(10,ROUND(IF(J45="protective",10-10*((IF(G45="Logarithm",LN(0.001+K45),IF(G45="Exponential",EXP(K45),K45)))-H45)/(I45-H45),10*((IF(G45="Logarithm",LN(0.001+K45),IF(G45="Exponential",EXP(K45),K45)))-H45)/(I45-H45)),1))),"No data"))</f>
        <v/>
      </c>
    </row>
    <row r="46">
      <c r="A46" s="5" t="inlineStr">
        <is>
          <t>NBS/MoFP</t>
        </is>
      </c>
      <c r="B46" s="5" t="inlineStr">
        <is>
          <t>Coping Capacity</t>
        </is>
      </c>
      <c r="C46" s="5" t="inlineStr">
        <is>
          <t>Infrastructure / Economic capacity</t>
        </is>
      </c>
      <c r="D46" s="5" t="inlineStr">
        <is>
          <t>International Wealth Index</t>
        </is>
      </c>
      <c r="E46" s="5" t="inlineStr">
        <is>
          <t>index</t>
        </is>
      </c>
      <c r="F46" s="5" t="inlineStr">
        <is>
          <t>Adm1</t>
        </is>
      </c>
      <c r="G46" s="5" t="inlineStr">
        <is>
          <t>None</t>
        </is>
      </c>
      <c r="H46" s="5" t="n">
        <v>19.11</v>
      </c>
      <c r="I46" s="5" t="n">
        <v>67.88</v>
      </c>
      <c r="J46" s="5" t="inlineStr">
        <is>
          <t>protective</t>
        </is>
      </c>
      <c r="K46" s="6" t="n"/>
      <c r="L46" s="7">
        <f>IF(K46="","",IFERROR(MAX(0,MIN(10,ROUND(IF(J46="protective",10-10*((IF(G46="Logarithm",LN(0.001+K46),IF(G46="Exponential",EXP(K46),K46)))-H46)/(I46-H46),10*((IF(G46="Logarithm",LN(0.001+K46),IF(G46="Exponential",EXP(K46),K46)))-H46)/(I46-H46)),1))),"No data"))</f>
        <v/>
      </c>
    </row>
    <row r="47">
      <c r="A47" s="5" t="inlineStr">
        <is>
          <t>MoEST/NBS</t>
        </is>
      </c>
      <c r="B47" s="5" t="inlineStr">
        <is>
          <t>Coping Capacity</t>
        </is>
      </c>
      <c r="C47" s="5" t="inlineStr">
        <is>
          <t>Infrastructure / Education</t>
        </is>
      </c>
      <c r="D47" s="5" t="inlineStr">
        <is>
          <t>Adult literacy rate</t>
        </is>
      </c>
      <c r="E47" s="5" t="inlineStr">
        <is>
          <t>%</t>
        </is>
      </c>
      <c r="F47" s="5" t="inlineStr">
        <is>
          <t>National</t>
        </is>
      </c>
      <c r="G47" s="5" t="inlineStr">
        <is>
          <t>None</t>
        </is>
      </c>
      <c r="H47" s="5" t="n">
        <v>60</v>
      </c>
      <c r="I47" s="5" t="n">
        <v>96.2</v>
      </c>
      <c r="J47" s="5" t="inlineStr">
        <is>
          <t>protective</t>
        </is>
      </c>
      <c r="K47" s="6" t="n"/>
      <c r="L47" s="7">
        <f>IF(K47="","",IFERROR(MAX(0,MIN(10,ROUND(IF(J47="protective",10-10*((IF(G47="Logarithm",LN(0.001+K47),IF(G47="Exponential",EXP(K47),K47)))-H47)/(I47-H47),10*((IF(G47="Logarithm",LN(0.001+K47),IF(G47="Exponential",EXP(K47),K47)))-H47)/(I47-H47)),1))),"No data"))</f>
        <v/>
      </c>
    </row>
    <row r="48">
      <c r="A48" s="5" t="inlineStr">
        <is>
          <t>MoEST/NBS</t>
        </is>
      </c>
      <c r="B48" s="5" t="inlineStr">
        <is>
          <t>Coping Capacity</t>
        </is>
      </c>
      <c r="C48" s="5" t="inlineStr">
        <is>
          <t>Infrastructure / Education</t>
        </is>
      </c>
      <c r="D48" s="5" t="inlineStr">
        <is>
          <t>Mean years at school</t>
        </is>
      </c>
      <c r="E48" s="5" t="inlineStr">
        <is>
          <t>years</t>
        </is>
      </c>
      <c r="F48" s="5" t="inlineStr">
        <is>
          <t>Adm1</t>
        </is>
      </c>
      <c r="G48" s="5" t="inlineStr">
        <is>
          <t>None</t>
        </is>
      </c>
      <c r="H48" s="5" t="n">
        <v>3.94</v>
      </c>
      <c r="I48" s="5" t="n">
        <v>8.710000000000001</v>
      </c>
      <c r="J48" s="5" t="inlineStr">
        <is>
          <t>protective</t>
        </is>
      </c>
      <c r="K48" s="6" t="n"/>
      <c r="L48" s="7">
        <f>IF(K48="","",IFERROR(MAX(0,MIN(10,ROUND(IF(J48="protective",10-10*((IF(G48="Logarithm",LN(0.001+K48),IF(G48="Exponential",EXP(K48),K48)))-H48)/(I48-H48),10*((IF(G48="Logarithm",LN(0.001+K48),IF(G48="Exponential",EXP(K48),K48)))-H48)/(I48-H48)),1))),"No data"))</f>
        <v/>
      </c>
    </row>
    <row r="49">
      <c r="A49" s="5" t="inlineStr">
        <is>
          <t>MoW</t>
        </is>
      </c>
      <c r="B49" s="5" t="inlineStr">
        <is>
          <t>Coping Capacity</t>
        </is>
      </c>
      <c r="C49" s="5" t="inlineStr">
        <is>
          <t>Infrastructure / WASH</t>
        </is>
      </c>
      <c r="D49" s="5" t="inlineStr">
        <is>
          <t>People using at least basic drinking water services (% of population)</t>
        </is>
      </c>
      <c r="E49" s="5" t="inlineStr">
        <is>
          <t>%</t>
        </is>
      </c>
      <c r="F49" s="5" t="inlineStr">
        <is>
          <t>National</t>
        </is>
      </c>
      <c r="G49" s="5" t="inlineStr">
        <is>
          <t>None</t>
        </is>
      </c>
      <c r="H49" s="5" t="n">
        <v>35</v>
      </c>
      <c r="I49" s="5" t="n">
        <v>99</v>
      </c>
      <c r="J49" s="5" t="inlineStr">
        <is>
          <t>protective</t>
        </is>
      </c>
      <c r="K49" s="6" t="n"/>
      <c r="L49" s="7">
        <f>IF(K49="","",IFERROR(MAX(0,MIN(10,ROUND(IF(J49="protective",10-10*((IF(G49="Logarithm",LN(0.001+K49),IF(G49="Exponential",EXP(K49),K49)))-H49)/(I49-H49),10*((IF(G49="Logarithm",LN(0.001+K49),IF(G49="Exponential",EXP(K49),K49)))-H49)/(I49-H49)),1))),"No data"))</f>
        <v/>
      </c>
    </row>
    <row r="50">
      <c r="A50" s="5" t="inlineStr">
        <is>
          <t>MoW</t>
        </is>
      </c>
      <c r="B50" s="5" t="inlineStr">
        <is>
          <t>Coping Capacity</t>
        </is>
      </c>
      <c r="C50" s="5" t="inlineStr">
        <is>
          <t>Infrastructure / WASH</t>
        </is>
      </c>
      <c r="D50" s="5" t="inlineStr">
        <is>
          <t>People using at least basic sanitation services (% of population)</t>
        </is>
      </c>
      <c r="E50" s="5" t="inlineStr">
        <is>
          <t>%</t>
        </is>
      </c>
      <c r="F50" s="5" t="inlineStr">
        <is>
          <t>National</t>
        </is>
      </c>
      <c r="G50" s="5" t="inlineStr">
        <is>
          <t>None</t>
        </is>
      </c>
      <c r="H50" s="5" t="n">
        <v>15</v>
      </c>
      <c r="I50" s="5" t="n">
        <v>99</v>
      </c>
      <c r="J50" s="5" t="inlineStr">
        <is>
          <t>protective</t>
        </is>
      </c>
      <c r="K50" s="6" t="n"/>
      <c r="L50" s="7">
        <f>IF(K50="","",IFERROR(MAX(0,MIN(10,ROUND(IF(J50="protective",10-10*((IF(G50="Logarithm",LN(0.001+K50),IF(G50="Exponential",EXP(K50),K50)))-H50)/(I50-H50),10*((IF(G50="Logarithm",LN(0.001+K50),IF(G50="Exponential",EXP(K50),K50)))-H50)/(I50-H50)),1))),"No data"))</f>
        <v/>
      </c>
    </row>
    <row r="51">
      <c r="A51" s="5" t="inlineStr">
        <is>
          <t>PMO-DMD</t>
        </is>
      </c>
      <c r="B51" s="5" t="inlineStr">
        <is>
          <t>Coping Capacity</t>
        </is>
      </c>
      <c r="C51" s="5" t="inlineStr">
        <is>
          <t>Institutional / DRR implementation</t>
        </is>
      </c>
      <c r="D51" s="5" t="inlineStr">
        <is>
          <t>Early Warning System</t>
        </is>
      </c>
      <c r="E51" s="5" t="inlineStr">
        <is>
          <t>number of people</t>
        </is>
      </c>
      <c r="F51" s="5" t="inlineStr">
        <is>
          <t>National</t>
        </is>
      </c>
      <c r="G51" s="5" t="inlineStr">
        <is>
          <t>None</t>
        </is>
      </c>
      <c r="H51" s="5" t="n">
        <v>0</v>
      </c>
      <c r="I51" s="5" t="n">
        <v>989030</v>
      </c>
      <c r="J51" s="5" t="inlineStr">
        <is>
          <t>protective</t>
        </is>
      </c>
      <c r="K51" s="6" t="n"/>
      <c r="L51" s="7">
        <f>IF(K51="","",IFERROR(MAX(0,MIN(10,ROUND(IF(J51="protective",10-10*((IF(G51="Logarithm",LN(0.001+K51),IF(G51="Exponential",EXP(K51),K51)))-H51)/(I51-H51),10*((IF(G51="Logarithm",LN(0.001+K51),IF(G51="Exponential",EXP(K51),K51)))-H51)/(I51-H51)),1))),"No data"))</f>
        <v/>
      </c>
    </row>
    <row r="52">
      <c r="A52" s="5" t="inlineStr">
        <is>
          <t>PMO-DMD</t>
        </is>
      </c>
      <c r="B52" s="5" t="inlineStr">
        <is>
          <t>Coping Capacity</t>
        </is>
      </c>
      <c r="C52" s="5" t="inlineStr">
        <is>
          <t>Institutional / DRR implementation</t>
        </is>
      </c>
      <c r="D52" s="5" t="inlineStr">
        <is>
          <t>Sendai Framework for Action</t>
        </is>
      </c>
      <c r="E52" s="5" t="inlineStr">
        <is>
          <t>index</t>
        </is>
      </c>
      <c r="F52" s="5" t="inlineStr">
        <is>
          <t>National</t>
        </is>
      </c>
      <c r="G52" s="5" t="inlineStr">
        <is>
          <t>None</t>
        </is>
      </c>
      <c r="H52" s="5" t="n">
        <v>0</v>
      </c>
      <c r="I52" s="5" t="n">
        <v>1</v>
      </c>
      <c r="J52" s="5" t="inlineStr">
        <is>
          <t>protective</t>
        </is>
      </c>
      <c r="K52" s="6" t="n"/>
      <c r="L52" s="7">
        <f>IF(K52="","",IFERROR(MAX(0,MIN(10,ROUND(IF(J52="protective",10-10*((IF(G52="Logarithm",LN(0.001+K52),IF(G52="Exponential",EXP(K52),K52)))-H52)/(I52-H52),10*((IF(G52="Logarithm",LN(0.001+K52),IF(G52="Exponential",EXP(K52),K52)))-H52)/(I52-H52)),1))),"No data"))</f>
        <v/>
      </c>
    </row>
    <row r="53">
      <c r="A53" s="5" t="inlineStr">
        <is>
          <t>PMO-DMD</t>
        </is>
      </c>
      <c r="B53" s="5" t="inlineStr">
        <is>
          <t>Coping Capacity</t>
        </is>
      </c>
      <c r="C53" s="5" t="inlineStr">
        <is>
          <t>Institutional / Governance</t>
        </is>
      </c>
      <c r="D53" s="5" t="inlineStr">
        <is>
          <t>Government effectiveness</t>
        </is>
      </c>
      <c r="E53" s="5" t="inlineStr">
        <is>
          <t>index</t>
        </is>
      </c>
      <c r="F53" s="5" t="inlineStr">
        <is>
          <t>National</t>
        </is>
      </c>
      <c r="G53" s="5" t="inlineStr">
        <is>
          <t>None</t>
        </is>
      </c>
      <c r="H53" s="5" t="n">
        <v>-1.7</v>
      </c>
      <c r="I53" s="5" t="n">
        <v>0.8</v>
      </c>
      <c r="J53" s="5" t="inlineStr">
        <is>
          <t>protective</t>
        </is>
      </c>
      <c r="K53" s="6" t="n"/>
      <c r="L53" s="7">
        <f>IF(K53="","",IFERROR(MAX(0,MIN(10,ROUND(IF(J53="protective",10-10*((IF(G53="Logarithm",LN(0.001+K53),IF(G53="Exponential",EXP(K53),K53)))-H53)/(I53-H53),10*((IF(G53="Logarithm",LN(0.001+K53),IF(G53="Exponential",EXP(K53),K53)))-H53)/(I53-H53)),1))),"No data"))</f>
        <v/>
      </c>
    </row>
    <row r="54">
      <c r="A54" s="5" t="inlineStr">
        <is>
          <t>PMO-DMD</t>
        </is>
      </c>
      <c r="B54" s="5" t="inlineStr">
        <is>
          <t>Coping Capacity</t>
        </is>
      </c>
      <c r="C54" s="5" t="inlineStr">
        <is>
          <t>Institutional / Governance</t>
        </is>
      </c>
      <c r="D54" s="5" t="inlineStr">
        <is>
          <t>Subnational Corruption Index</t>
        </is>
      </c>
      <c r="E54" s="5" t="inlineStr">
        <is>
          <t>index</t>
        </is>
      </c>
      <c r="F54" s="5" t="inlineStr">
        <is>
          <t>Adm1</t>
        </is>
      </c>
      <c r="G54" s="5" t="inlineStr">
        <is>
          <t>None</t>
        </is>
      </c>
      <c r="H54" s="5" t="n">
        <v>64.90000000000001</v>
      </c>
      <c r="I54" s="5" t="n">
        <v>79.5</v>
      </c>
      <c r="J54" s="5" t="inlineStr">
        <is>
          <t>protective</t>
        </is>
      </c>
      <c r="K54" s="6" t="n"/>
      <c r="L54" s="7">
        <f>IF(K54="","",IFERROR(MAX(0,MIN(10,ROUND(IF(J54="protective",10-10*((IF(G54="Logarithm",LN(0.001+K54),IF(G54="Exponential",EXP(K54),K54)))-H54)/(I54-H54),10*((IF(G54="Logarithm",LN(0.001+K54),IF(G54="Exponential",EXP(K54),K54)))-H54)/(I54-H54)),1))),"No data"))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0" formatRows="1" sort="1"/>
  <autoFilter ref="A1:L5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2026-06-03T17:49:29+00:00Z</dcterms:created>
  <dcterms:modified xmlns:dcterms="http://purl.org/dc/terms/" xmlns:xsi="http://www.w3.org/2001/XMLSchema-instance" xsi:type="dcterms:W3CDTF">2026-06-03T17:49:29+00:00Z</dcterms:modified>
</cp:coreProperties>
</file>